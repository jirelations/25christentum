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FE8F203B-276B-704D-892F-FAF5BD333341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2" i="1"/>
  <c r="S3" i="1"/>
  <c r="T3" i="1"/>
  <c r="U3" i="1"/>
  <c r="V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V7" i="1"/>
  <c r="S8" i="1"/>
  <c r="V8" i="1" s="1"/>
  <c r="T8" i="1"/>
  <c r="U8" i="1"/>
  <c r="S9" i="1"/>
  <c r="T9" i="1"/>
  <c r="U9" i="1"/>
  <c r="V9" i="1"/>
  <c r="S10" i="1"/>
  <c r="V10" i="1" s="1"/>
  <c r="T10" i="1"/>
  <c r="U10" i="1"/>
  <c r="S11" i="1"/>
  <c r="T11" i="1"/>
  <c r="U11" i="1"/>
  <c r="V11" i="1"/>
  <c r="S12" i="1"/>
  <c r="V12" i="1" s="1"/>
  <c r="T12" i="1"/>
  <c r="U12" i="1"/>
  <c r="S13" i="1"/>
  <c r="T13" i="1"/>
  <c r="U13" i="1"/>
  <c r="V13" i="1"/>
  <c r="S14" i="1"/>
  <c r="V14" i="1" s="1"/>
  <c r="T14" i="1"/>
  <c r="U14" i="1"/>
  <c r="U2" i="1"/>
  <c r="T2" i="1"/>
  <c r="S2" i="1"/>
  <c r="V2" i="1" s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V4" i="1" l="1"/>
  <c r="D4" i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<sst xmlns="http://schemas.openxmlformats.org/spreadsheetml/2006/main" count="99" uniqueCount="92">
  <si>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</si>
  <si>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</si>
  <si>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</si>
  <si>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</si>
  <si>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</si>
  <si>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</si>
  <si>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</si>
  <si>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</si>
  <si>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</si>
  <si>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</si>
  <si>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</si>
  <si>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</si>
  <si>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</si>
  <si>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</si>
  <si>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</si>
  <si>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</si>
  <si>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</si>
  <si>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</si>
  <si>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</si>
  <si>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</si>
  <si>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</si>
  <si>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</si>
  <si>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</si>
  <si>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</si>
  <si>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</si>
  <si>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</si>
  <si>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</si>
  <si>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</si>
  <si>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</si>
  <si>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</si>
  <si>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</si>
  <si>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</si>
  <si>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</si>
  <si>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griffith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</si>
  <si>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</si>
  <si>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</si>
  <si>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</si>
  <si>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</si>
  <si>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</si>
  <si>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</si>
  <si>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</si>
  <si>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</si>
  <si>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</si>
  <si>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</si>
  <si>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</si>
  <si>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Den Heiligkeitsbegriff mit Beispielen erklären können.</t>
  </si>
  <si>
    <t>Wie sieht eine Kirche aus?</t>
  </si>
  <si>
    <t>something about liturgy?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</si>
  <si>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</si>
  <si>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</si>
  <si>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</si>
  <si>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</si>
  <si>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</si>
  <si>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</si>
  <si>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</si>
  <si>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</si>
  <si>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</si>
  <si>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</si>
  <si>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</si>
  <si>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</si>
  <si>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</si>
  <si>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</si>
  <si>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</si>
  <si>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</si>
  <si>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</si>
  <si>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</si>
  <si>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</si>
  <si>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</si>
  <si>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</si>
  <si>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</si>
  <si>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</si>
  <si>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</si>
  <si>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</si>
  <si>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</si>
  <si>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</si>
  <si>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</si>
  <si>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</si>
  <si>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</si>
  <si>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</si>
  <si>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</si>
  <si>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</si>
  <si>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</si>
  <si>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</si>
  <si>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</si>
  <si>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</si>
  <si>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</si>
  <si>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</si>
  <si>
    <t>bauerEinleitungKapitelEdessa1964</t>
  </si>
  <si>
    <t>Eine positive und eine kritische Bemerkung zu Bauers These für sich notieren und bereit sein, diese im Plenum zu diskutieren.</t>
  </si>
  <si>
    <t>bethlehem-church-nativity.jpg</t>
  </si>
  <si>
    <t>georgetownuniversity-theologyCostanLecture20142015</t>
  </si>
  <si>
    <t>Beispiele von heiligen Personen und ihre Heiligkeitsfaktoren hier sammeln: &lt;https://etherpad.studiumdigitale.uni-frankfurt.de/p/25christentum5&gt;. (Als Zusatz zum Video könnten auch Beiträge in Enzyklopädien zu einzelnen Heiligen geschaut werden.)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</si>
</sst>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O2" activePane="bottomRight" state="frozen"/>
      <selection activeCell="B1" sqref="B1"/>
      <selection pane="topRight" activeCell="H1" sqref="H1"/>
      <selection pane="bottomLeft" activeCell="B2" sqref="B2"/>
      <selection pane="bottomRight" activeCell="O7" sqref="O7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73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37</v>
      </c>
      <c r="P1" s="1" t="s">
        <v>11</v>
      </c>
      <c r="Q1" s="1" t="s">
        <v>12</v>
      </c>
      <c r="R1" s="1" t="s">
        <v>86</v>
      </c>
      <c r="S1" s="1" t="s">
        <v>82</v>
      </c>
      <c r="T1" s="1" t="s">
        <v>83</v>
      </c>
      <c r="U1" s="1" t="s">
        <v>84</v>
      </c>
      <c r="V1" s="1" t="s">
        <v>85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62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72</v>
      </c>
      <c r="L2" t="str">
        <f>SUBSTITUTE(SUBSTITUTE(SUBSTITUTE(SUBSTITUTE(B2 &amp; ". " &amp; F2,".",""),"&amp;","")," ","-"),"--","-")</f>
        <v>1-Einführung-Zielsetzung</v>
      </c>
      <c r="N2" s="17" t="s">
        <v>38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39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76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79</v>
      </c>
      <c r="N3" t="s">
        <v>40</v>
      </c>
      <c r="O3" t="s">
        <v>41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63</v>
      </c>
      <c r="G4" t="s">
        <v>42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78</v>
      </c>
      <c r="L4" t="str">
        <f t="shared" si="5"/>
        <v>3-Abendmahl,-Pessach-und-Ostern</v>
      </c>
      <c r="M4" s="16" t="s">
        <v>80</v>
      </c>
      <c r="N4" t="s">
        <v>44</v>
      </c>
      <c r="O4" t="s">
        <v>81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K5" t="s">
        <v>89</v>
      </c>
      <c r="L5" t="str">
        <f t="shared" si="5"/>
        <v>4-Orthodoxie-und-Häresie</v>
      </c>
      <c r="M5" s="16" t="s">
        <v>87</v>
      </c>
      <c r="N5" t="s">
        <v>43</v>
      </c>
      <c r="O5" t="s">
        <v>88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bethlehem-church-nativity.jpg
parallaxBackgroundImage: 'assets/img/bethlehem-church-nativity.jpg'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bethlehem-church-nativity.jpg
parallaxBackgroundImage: 'assets/img/bethlehem-church-nativity.jpg'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74</v>
      </c>
      <c r="L6" t="str">
        <f t="shared" si="5"/>
        <v>5-Askese,-Martyrium,-Wunder-und-Wallfahrt</v>
      </c>
      <c r="M6" s="16" t="s">
        <v>90</v>
      </c>
      <c r="N6" t="s">
        <v>45</v>
      </c>
      <c r="O6" t="s">
        <v>91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sieht eine Kirche aus?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sieht eine Kirche aus?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21</v>
      </c>
      <c r="F7" s="4" t="s">
        <v>21</v>
      </c>
      <c r="G7" t="s">
        <v>46</v>
      </c>
      <c r="I7" t="str">
        <f t="shared" si="4"/>
        <v>6. Exkursion: Wie sieht eine Kirche aus?</v>
      </c>
      <c r="J7" s="3">
        <f t="shared" si="1"/>
        <v>6</v>
      </c>
      <c r="L7" t="str">
        <f t="shared" si="5"/>
        <v>6-Exkursion</v>
      </c>
      <c r="M7" s="16" t="s">
        <v>47</v>
      </c>
      <c r="N7" t="s">
        <v>48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sieht eine Kirche aus?'
author: 'Nathan Gibson'
session: 6
tags: [6,slides]
category: slides
image: 
parallaxBackgroundImage: 'assets/img/'
---
</v>
      </c>
      <c r="T7" t="str">
        <f t="shared" si="8"/>
        <v>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sieht eine Kirche aus?'
author: 'Nathan Gibson'
session: 6
tags: [6,slides]
category: slides
image: 
parallaxBackgroundImage: 'assets/img/'
---
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8" t="str">
        <f t="shared" si="9"/>
        <v xml:space="preserve">
## Lektüre
## Diskussion
## Vorschau
Wie verstanden sich Christen und Muslime?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verstanden sich Christen und Muslime?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64</v>
      </c>
      <c r="G9" t="s">
        <v>71</v>
      </c>
      <c r="I9" t="str">
        <f t="shared" si="4"/>
        <v>7. Begegnungen mit dem Islam: Wie verstanden sich Christen und Muslime?</v>
      </c>
      <c r="J9" s="3">
        <f t="shared" si="1"/>
        <v>7</v>
      </c>
      <c r="K9" t="s">
        <v>75</v>
      </c>
      <c r="L9" t="str">
        <f t="shared" si="5"/>
        <v>7-Begegnungen-mit-dem-Islam</v>
      </c>
      <c r="M9" s="16" t="s">
        <v>33</v>
      </c>
      <c r="N9" t="s">
        <v>49</v>
      </c>
      <c r="O9" t="s">
        <v>50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 t="shared" si="7"/>
        <v xml:space="preserve">---
layout: reveal
title: 'Wie verstanden sich Christen und Muslime?'
author: 'Nathan Gibson'
session: 7
tags: [7,slides]
category: slides
image: st-paul-harissa.jpg
parallaxBackgroundImage: 'assets/img/st-paul-harissa.jpg'
---
</v>
      </c>
      <c r="T9" t="str">
        <f t="shared" si="8"/>
        <v>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</v>
      </c>
      <c r="U9" t="str">
        <f t="shared" si="9"/>
        <v xml:space="preserve">
## Lektüre
## Diskussion
## Vorschau
Wie entwickelte sich die Kirche außerhalb des Römischen Reiches? (I)</v>
      </c>
      <c r="V9" t="str">
        <f t="shared" si="10"/>
        <v>---
layout: reveal
title: 'Wie verstanden sich Christen und Muslime?'
author: 'Nathan Gibson'
session: 7
tags: [7,slides]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
## Lektüre
## Diskussion
## Vorschau
Wie entwickelte sich die Kirche außerhalb des Römischen Reiches? (I)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65</v>
      </c>
      <c r="G10" t="s">
        <v>68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51</v>
      </c>
      <c r="N10" t="s">
        <v>52</v>
      </c>
      <c r="O10" t="s">
        <v>53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 t="shared" si="7"/>
        <v xml:space="preserve">---
layout: reveal
title: 'Wie entwickelte sich die Kirche außerhalb des Römischen Reiches? (I)'
author: 'Nathan Gibson'
session: 8
tags: [8,slides]
category: slides
image: 
parallaxBackgroundImage: 'assets/img/'
---
</v>
      </c>
      <c r="T10" t="str">
        <f t="shared" si="8"/>
        <v>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</v>
      </c>
      <c r="U10" t="str">
        <f t="shared" si="9"/>
        <v xml:space="preserve">
## Lektüre
## Diskussion
## Vorschau
Wie entfalteten sich die einheimischen Kirchen innerhalb des Römischen Reiches? </v>
      </c>
      <c r="V10" t="str">
        <f t="shared" si="10"/>
        <v xml:space="preserve">---
layout: reveal
title: 'Wie entwickelte sich die Kirche außerhalb des Römischen Reiches? (I)'
author: 'Nathan Gibson'
session: 8
tags: [8,slides]
category: slides
image: 
parallaxBackgroundImage: 'assets/img/'
---
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66</v>
      </c>
      <c r="G11" t="s">
        <v>70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54</v>
      </c>
      <c r="N11" t="s">
        <v>55</v>
      </c>
      <c r="O11" t="s">
        <v>56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entfalteten sich die einheimischen Kirchen innerhalb des Römischen Reiches? '
author: 'Nathan Gibson'
session: 9
tags: [9,slides]
category: slides
image: 
parallaxBackgroundImage: 'assets/img/'
---
</v>
      </c>
      <c r="T11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entfalteten sich die einheimischen Kirchen innerhalb des Römischen Reiches? '
author: 'Nathan Gibson'
session: 9
tags: [9,slides]
category: slides
image: 
parallaxBackgroundImage: 'assets/img/'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67</v>
      </c>
      <c r="G13" t="s">
        <v>69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77</v>
      </c>
      <c r="L13" t="str">
        <f t="shared" si="5"/>
        <v>10-Armenier-und-Äthiopier</v>
      </c>
      <c r="M13" s="16" t="s">
        <v>57</v>
      </c>
      <c r="N13" t="s">
        <v>58</v>
      </c>
      <c r="O13" t="s">
        <v>59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34</v>
      </c>
      <c r="F14" s="4" t="s">
        <v>35</v>
      </c>
      <c r="G14" t="s">
        <v>36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60</v>
      </c>
      <c r="O14" t="s">
        <v>61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
parallaxBackgroundImage: 'assets/img/'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
parallaxBackgroundImage: 'assets/img/'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2025-05-19T08:32:38Z</dcterms:modified>
</cp:coreProperties>
</file>