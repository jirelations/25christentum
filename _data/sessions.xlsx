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34A2DDD6-D30E-214D-9620-6D403A5ED174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P3" i="1"/>
  <c r="Q3" i="1" s="1"/>
  <c r="P4" i="1"/>
  <c r="Q4" i="1" s="1"/>
  <c r="P5" i="1"/>
  <c r="Q5" i="1" s="1"/>
  <c r="P6" i="1"/>
  <c r="Q6" i="1" s="1"/>
  <c r="P7" i="1"/>
  <c r="Q7" i="1" s="1"/>
  <c r="P9" i="1"/>
  <c r="P10" i="1"/>
  <c r="Q10" i="1" s="1"/>
  <c r="P11" i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Q9" i="1"/>
  <c r="Q11" i="1"/>
  <c r="Q2" i="1"/>
  <c r="D14" i="1"/>
  <c r="D11" i="1"/>
  <c r="D13" i="1"/>
  <c r="D10" i="1"/>
  <c r="D9" i="1"/>
  <c r="D4" i="1" l="1"/>
  <c r="D6" i="1"/>
  <c r="D7" i="1"/>
  <c r="D3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<sst xmlns="http://schemas.openxmlformats.org/spreadsheetml/2006/main" count="93" uniqueCount="86">
  <si>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</si>
  <si>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</si>
  <si>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</si>
  <si>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</si>
  <si>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</si>
  <si>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</si>
  <si>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</si>
  <si>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</si>
  <si>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</si>
  <si>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</si>
  <si>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</si>
  <si>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</si>
  <si>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</si>
  <si>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</si>
  <si>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</si>
  <si>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</si>
  <si>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</si>
  <si>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</si>
  <si>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</si>
  <si>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</si>
  <si>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</si>
  <si>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</si>
  <si>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</si>
  <si>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</si>
  <si>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</si>
  <si>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</si>
  <si>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</si>
  <si>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</si>
  <si>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</si>
  <si>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</si>
  <si>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</si>
  <si>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</si>
  <si>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</si>
  <si>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griffith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</si>
  <si>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</si>
  <si>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</si>
  <si>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</si>
  <si>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</si>
  <si>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</si>
  <si>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</si>
  <si>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</si>
  <si>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</si>
  <si>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Aphrahat</t>
  </si>
  <si>
    <t>Was wird mit wem gefeiert?</t>
  </si>
  <si>
    <t xml:space="preserve">Das des nächsten Ostern nach Aphrahats Vorgaben rechnen. </t>
  </si>
  <si>
    <t>Bauer vs. Stark; Ephrem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</si>
  <si>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</si>
  <si>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</si>
  <si>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Debattieren: Ob die politische Macht entscheidend war in der Durchsetzung der "Orthodoxie".</t>
  </si>
  <si>
    <t>Peter Brown (Interview?)</t>
  </si>
  <si>
    <t>Den Heiligkeitsbegriff mit Beispielen erklären können.</t>
  </si>
  <si>
    <t>Heiligkeitsfaktoren sammeln</t>
  </si>
  <si>
    <t>Wie sieht eine Kirche aus?</t>
  </si>
  <si>
    <t>something about liturgy?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</si>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</sst>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6"/>
  <sheetViews>
    <sheetView tabSelected="1" topLeftCell="B1" zoomScale="142" zoomScaleNormal="140" workbookViewId="0">
      <pane xSplit="6" ySplit="1" topLeftCell="I2" activePane="bottomRight" state="frozen"/>
      <selection activeCell="B1" sqref="B1"/>
      <selection pane="topRight" activeCell="H1" sqref="H1"/>
      <selection pane="bottomLeft" activeCell="B2" sqref="B2"/>
      <selection pane="bottomRight" activeCell="M4" sqref="M4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60.832031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79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37</v>
      </c>
      <c r="P1" s="1" t="s">
        <v>11</v>
      </c>
      <c r="Q1" s="1" t="s">
        <v>12</v>
      </c>
    </row>
    <row r="2" spans="1:17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68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78</v>
      </c>
      <c r="L2" t="str">
        <f>SUBSTITUTE(SUBSTITUTE(SUBSTITUTE(SUBSTITUTE(B2 &amp; ". " &amp; F2,".",""),"&amp;","")," ","-"),"--","-")</f>
        <v>1-Einführung-Zielsetzung</v>
      </c>
      <c r="N2" s="17" t="s">
        <v>38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39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82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85</v>
      </c>
      <c r="N3" t="s">
        <v>40</v>
      </c>
      <c r="O3" t="s">
        <v>41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69</v>
      </c>
      <c r="G4" t="s">
        <v>43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84</v>
      </c>
      <c r="L4" t="str">
        <f t="shared" si="5"/>
        <v>3-Abendmahl,-Pessach-und-Ostern</v>
      </c>
      <c r="M4" s="16" t="s">
        <v>42</v>
      </c>
      <c r="N4" t="s">
        <v>47</v>
      </c>
      <c r="O4" t="s">
        <v>44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L5" t="str">
        <f t="shared" si="5"/>
        <v>4-Orthodoxie-und-Häresie</v>
      </c>
      <c r="M5" s="16" t="s">
        <v>45</v>
      </c>
      <c r="N5" t="s">
        <v>46</v>
      </c>
      <c r="O5" t="s">
        <v>48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80</v>
      </c>
      <c r="L6" t="str">
        <f t="shared" si="5"/>
        <v>5-Askese,-Martyrium,-Wunder-und-Wallfahrt</v>
      </c>
      <c r="M6" s="16" t="s">
        <v>49</v>
      </c>
      <c r="N6" t="s">
        <v>50</v>
      </c>
      <c r="O6" t="s">
        <v>51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21</v>
      </c>
      <c r="F7" s="4" t="s">
        <v>21</v>
      </c>
      <c r="G7" t="s">
        <v>52</v>
      </c>
      <c r="I7" t="str">
        <f t="shared" si="4"/>
        <v>6. Exkursion: Wie sieht eine Kirche aus?</v>
      </c>
      <c r="J7" s="3">
        <f t="shared" si="1"/>
        <v>6</v>
      </c>
      <c r="L7" t="str">
        <f t="shared" si="5"/>
        <v>6-Exkursion</v>
      </c>
      <c r="M7" s="16" t="s">
        <v>53</v>
      </c>
      <c r="N7" t="s">
        <v>54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</row>
    <row r="9" spans="1:17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70</v>
      </c>
      <c r="G9" t="s">
        <v>77</v>
      </c>
      <c r="I9" t="str">
        <f t="shared" si="4"/>
        <v>7. Begegnungen mit dem Islam: Wie verstanden sich Christen und Muslime?</v>
      </c>
      <c r="J9" s="3">
        <f t="shared" si="1"/>
        <v>7</v>
      </c>
      <c r="K9" t="s">
        <v>81</v>
      </c>
      <c r="L9" t="str">
        <f t="shared" si="5"/>
        <v>7-Begegnungen-mit-dem-Islam</v>
      </c>
      <c r="M9" s="16" t="s">
        <v>33</v>
      </c>
      <c r="N9" t="s">
        <v>55</v>
      </c>
      <c r="O9" t="s">
        <v>56</v>
      </c>
      <c r="P9" t="str">
        <f t="shared" si="2"/>
        <v>[7]</v>
      </c>
      <c r="Q9" t="str">
        <f t="shared" si="3"/>
        <v>---
layout: post
session: 7
tags: [7]
level: overview
---</v>
      </c>
    </row>
    <row r="10" spans="1:17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71</v>
      </c>
      <c r="G10" t="s">
        <v>74</v>
      </c>
      <c r="I10" t="str">
        <f t="shared" si="4"/>
        <v>8. Kirche des Ostens (ostsyrisch/assyrianisch): Wie entwickelte sich die Kirche außerhalb des Römischen Reiches? (I)</v>
      </c>
      <c r="J10" s="3">
        <f t="shared" si="1"/>
        <v>8</v>
      </c>
      <c r="L10" t="str">
        <f t="shared" si="5"/>
        <v>8-Kirche-des-Ostens-(ostsyrisch/assyrianisch)</v>
      </c>
      <c r="M10" s="16" t="s">
        <v>57</v>
      </c>
      <c r="N10" t="s">
        <v>58</v>
      </c>
      <c r="O10" t="s">
        <v>59</v>
      </c>
      <c r="P10" t="str">
        <f t="shared" si="2"/>
        <v>[8]</v>
      </c>
      <c r="Q10" t="str">
        <f t="shared" si="3"/>
        <v>---
layout: post
session: 8
tags: [8]
level: overview
---</v>
      </c>
    </row>
    <row r="11" spans="1:17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32</v>
      </c>
      <c r="F11" s="4" t="s">
        <v>72</v>
      </c>
      <c r="G11" t="s">
        <v>76</v>
      </c>
      <c r="I11" t="str">
        <f t="shared" si="4"/>
        <v xml:space="preserve">9. Kopten und Syrisch-Orthodoxen: Wie entfalteten sich die einheimischen Kirchen innerhalb des Römischen Reiches? </v>
      </c>
      <c r="J11" s="3">
        <f t="shared" si="1"/>
        <v>9</v>
      </c>
      <c r="L11" t="str">
        <f t="shared" si="5"/>
        <v>9-Kopten-und-Syrisch-Orthodoxen</v>
      </c>
      <c r="M11" s="16" t="s">
        <v>60</v>
      </c>
      <c r="N11" t="s">
        <v>61</v>
      </c>
      <c r="O11" t="s">
        <v>62</v>
      </c>
      <c r="P11" t="str">
        <f t="shared" si="2"/>
        <v>[9]</v>
      </c>
      <c r="Q11" t="str">
        <f t="shared" si="3"/>
        <v>---
layout: post
session: 9
tags: [9]
level: overview
---</v>
      </c>
    </row>
    <row r="12" spans="1:17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</row>
    <row r="13" spans="1:17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73</v>
      </c>
      <c r="G13" t="s">
        <v>75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83</v>
      </c>
      <c r="L13" t="str">
        <f t="shared" si="5"/>
        <v>10-Armenier-und-Äthiopier</v>
      </c>
      <c r="M13" s="16" t="s">
        <v>63</v>
      </c>
      <c r="N13" t="s">
        <v>64</v>
      </c>
      <c r="O13" t="s">
        <v>65</v>
      </c>
      <c r="P13" t="str">
        <f t="shared" si="2"/>
        <v>[10]</v>
      </c>
      <c r="Q13" t="str">
        <f t="shared" si="3"/>
        <v>---
layout: post
session: 10
tags: [10]
level: overview
---</v>
      </c>
    </row>
    <row r="14" spans="1:17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34</v>
      </c>
      <c r="F14" s="4" t="s">
        <v>35</v>
      </c>
      <c r="G14" t="s">
        <v>36</v>
      </c>
      <c r="I14" t="str">
        <f t="shared" si="4"/>
        <v>11. Rückblick: Was haben wir gelernt?</v>
      </c>
      <c r="J14" s="3">
        <f t="shared" si="1"/>
        <v>11</v>
      </c>
      <c r="L14" t="str">
        <f t="shared" si="5"/>
        <v>11-Rückblick</v>
      </c>
      <c r="M14" s="9"/>
      <c r="N14" t="s">
        <v>66</v>
      </c>
      <c r="O14" t="s">
        <v>67</v>
      </c>
      <c r="P14" t="str">
        <f t="shared" si="2"/>
        <v>[11]</v>
      </c>
      <c r="Q14" t="str">
        <f t="shared" si="3"/>
        <v>---
layout: post
session: 11
tags: [11]
level: overview
---</v>
      </c>
    </row>
    <row r="15" spans="1:17" x14ac:dyDescent="0.2">
      <c r="E15" s="4"/>
    </row>
    <row r="16" spans="1:17" x14ac:dyDescent="0.2">
      <c r="E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2025-04-28T09:30:39Z</dcterms:modified>
</cp:coreProperties>
</file>