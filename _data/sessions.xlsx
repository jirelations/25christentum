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nathan/Github/jirelations/25christentum/_data/"/>
    </mc:Choice>
  </mc:AlternateContent>
  <xr:revisionPtr revIDLastSave="0" documentId="13_ncr:1_{1B23FEDD-9DD0-7A44-A576-1088E4014A0B}" xr6:coauthVersionLast="47" xr6:coauthVersionMax="47" xr10:uidLastSave="{00000000-0000-0000-0000-000000000000}"/>
  <bookViews>
    <workbookView xWindow="4680" yWindow="500" windowWidth="33720" windowHeight="21100" xr2:uid="{00000000-000D-0000-FFFF-FFFF00000000}"/>
  </bookViews>
  <sheets>
    <sheet name="sess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2" i="1"/>
  <c r="S3" i="1"/>
  <c r="T3" i="1"/>
  <c r="U3" i="1"/>
  <c r="V3" i="1"/>
  <c r="S4" i="1"/>
  <c r="T4" i="1"/>
  <c r="U4" i="1"/>
  <c r="S5" i="1"/>
  <c r="V5" i="1" s="1"/>
  <c r="T5" i="1"/>
  <c r="U5" i="1"/>
  <c r="S6" i="1"/>
  <c r="V6" i="1" s="1"/>
  <c r="T6" i="1"/>
  <c r="U6" i="1"/>
  <c r="S7" i="1"/>
  <c r="T7" i="1"/>
  <c r="U7" i="1"/>
  <c r="V7" i="1"/>
  <c r="S8" i="1"/>
  <c r="V8" i="1" s="1"/>
  <c r="T8" i="1"/>
  <c r="U8" i="1"/>
  <c r="S9" i="1"/>
  <c r="T9" i="1"/>
  <c r="U9" i="1"/>
  <c r="V9" i="1"/>
  <c r="S10" i="1"/>
  <c r="V10" i="1" s="1"/>
  <c r="T10" i="1"/>
  <c r="U10" i="1"/>
  <c r="S11" i="1"/>
  <c r="T11" i="1"/>
  <c r="U11" i="1"/>
  <c r="V11" i="1"/>
  <c r="S12" i="1"/>
  <c r="V12" i="1" s="1"/>
  <c r="T12" i="1"/>
  <c r="U12" i="1"/>
  <c r="S13" i="1"/>
  <c r="T13" i="1"/>
  <c r="U13" i="1"/>
  <c r="V13" i="1"/>
  <c r="S14" i="1"/>
  <c r="V14" i="1" s="1"/>
  <c r="T14" i="1"/>
  <c r="U14" i="1"/>
  <c r="U2" i="1"/>
  <c r="T2" i="1"/>
  <c r="S2" i="1"/>
  <c r="V2" i="1" s="1"/>
  <c r="I3" i="1"/>
  <c r="I4" i="1"/>
  <c r="I5" i="1"/>
  <c r="I6" i="1"/>
  <c r="I7" i="1"/>
  <c r="I8" i="1"/>
  <c r="I9" i="1"/>
  <c r="I10" i="1"/>
  <c r="I11" i="1"/>
  <c r="I12" i="1"/>
  <c r="I13" i="1"/>
  <c r="I14" i="1"/>
  <c r="I2" i="1"/>
  <c r="P2" i="1"/>
  <c r="P3" i="1"/>
  <c r="Q3" i="1" s="1"/>
  <c r="P4" i="1"/>
  <c r="Q4" i="1" s="1"/>
  <c r="P5" i="1"/>
  <c r="Q5" i="1" s="1"/>
  <c r="P6" i="1"/>
  <c r="Q6" i="1" s="1"/>
  <c r="P7" i="1"/>
  <c r="Q7" i="1" s="1"/>
  <c r="P9" i="1"/>
  <c r="P10" i="1"/>
  <c r="Q10" i="1" s="1"/>
  <c r="P11" i="1"/>
  <c r="P13" i="1"/>
  <c r="Q13" i="1" s="1"/>
  <c r="P14" i="1"/>
  <c r="Q14" i="1" s="1"/>
  <c r="J2" i="1"/>
  <c r="J3" i="1"/>
  <c r="J4" i="1"/>
  <c r="J5" i="1"/>
  <c r="J6" i="1"/>
  <c r="J7" i="1"/>
  <c r="J9" i="1"/>
  <c r="J10" i="1"/>
  <c r="J11" i="1"/>
  <c r="J13" i="1"/>
  <c r="J14" i="1"/>
  <c r="L3" i="1"/>
  <c r="L4" i="1"/>
  <c r="L5" i="1"/>
  <c r="L6" i="1"/>
  <c r="L7" i="1"/>
  <c r="L9" i="1"/>
  <c r="L10" i="1"/>
  <c r="L11" i="1"/>
  <c r="L13" i="1"/>
  <c r="L14" i="1"/>
  <c r="L2" i="1"/>
  <c r="Q9" i="1"/>
  <c r="Q11" i="1"/>
  <c r="Q2" i="1"/>
  <c r="D14" i="1"/>
  <c r="D11" i="1"/>
  <c r="D13" i="1"/>
  <c r="D10" i="1"/>
  <c r="D9" i="1"/>
  <c r="V4" i="1" l="1"/>
  <c r="D4" i="1"/>
  <c r="D6" i="1"/>
  <c r="D7" i="1"/>
  <c r="D3" i="1"/>
  <c r="D5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K3" authorId="0" shapeId="0" xr:uid="{61B32DDB-B5B9-0142-913E-6250695D5EA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icon of apostles/evangelists</t>
        </r>
      </text>
    </comment>
    <comment ref="K4" authorId="0" shapeId="0" xr:uid="{707D87E0-5861-D94A-980F-D67B2964EB4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Passover plate</t>
        </r>
      </text>
    </comment>
    <comment ref="K6" authorId="0" shapeId="0" xr:uid="{276AE971-D262-D840-892A-EADC3435697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Simeon</t>
        </r>
      </text>
    </comment>
    <comment ref="K9" authorId="0" shapeId="0" xr:uid="{23CF44F8-86FA-7B45-A00A-CC7096BB709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Arabic Bible</t>
        </r>
      </text>
    </comment>
    <comment ref="K10" authorId="0" shapeId="0" xr:uid="{89BD8EB3-EE91-E848-9B3A-6E7814FFAC1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Edessa / Nestorian stele?</t>
        </r>
      </text>
    </comment>
    <comment ref="K11" authorId="0" shapeId="0" xr:uid="{D73E6C6F-C73A-DC40-90D2-B0CA652CEFEF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St. Mark</t>
        </r>
      </text>
    </comment>
  </commentList>
</comments>
</file>

<file path=xl/sharedStrings.xml><?xml version="1.0" encoding="utf-8"?>
<sst xmlns="http://schemas.openxmlformats.org/spreadsheetml/2006/main" count="99" uniqueCount="92">
  <si>
    <t>blank</t>
  </si>
  <si>
    <t>session</t>
  </si>
  <si>
    <t>date</t>
  </si>
  <si>
    <t>filename</t>
  </si>
  <si>
    <t>unit</t>
  </si>
  <si>
    <t>title</t>
  </si>
  <si>
    <t>pad-slug</t>
  </si>
  <si>
    <t>image</t>
  </si>
  <si>
    <t>zotero-tag</t>
  </si>
  <si>
    <t>zotero-readings</t>
  </si>
  <si>
    <t>objective</t>
  </si>
  <si>
    <t>tags</t>
  </si>
  <si>
    <t>contents</t>
  </si>
  <si>
    <t>concepts</t>
  </si>
  <si>
    <t>long-topic</t>
  </si>
  <si>
    <t>2025-06-09-pfingstmontag.md</t>
  </si>
  <si>
    <t>2025-06-09-sommerfest.md</t>
  </si>
  <si>
    <t>Pfingstmontag (Feiertag)</t>
  </si>
  <si>
    <t>Sommerfest anstatt Grundkurs</t>
  </si>
  <si>
    <t>Ist das Christentum eine westliche Religion?</t>
  </si>
  <si>
    <t>Einleitung</t>
  </si>
  <si>
    <t>Exkursion</t>
  </si>
  <si>
    <t>Heilige Schriften, Schriftlichkeit/Mündlichkeit, sakrale Objekte</t>
  </si>
  <si>
    <t>Normativität, soziale Strukturen</t>
  </si>
  <si>
    <t>Heilige Schriften und die apostolische Tradition</t>
  </si>
  <si>
    <t>Orthodoxie und Häresie</t>
  </si>
  <si>
    <t>Askese, Martyrium, Wunder und Wallfahrt</t>
  </si>
  <si>
    <t>Warum ist es wichtig, richtig zu glauben?</t>
  </si>
  <si>
    <t>Festen, Rituale, Parting of the Ways</t>
  </si>
  <si>
    <t>Gender, Heilige Orte, sakrale Objekte</t>
  </si>
  <si>
    <t>Wer und was ist heilig?</t>
  </si>
  <si>
    <t>Frühchristliche Gemeinschaften</t>
  </si>
  <si>
    <t>Die Entfaltung der Gemeinden</t>
  </si>
  <si>
    <t>griffith</t>
  </si>
  <si>
    <t>Schlusswort</t>
  </si>
  <si>
    <t>Rückblick</t>
  </si>
  <si>
    <t>Was haben wir gelernt?</t>
  </si>
  <si>
    <t>Aufgabe</t>
  </si>
  <si>
    <t>1. Eigene Ziele im Kurs setzen.
2. Westliche Vorstellungen des Christentums erstmal hinterfragen.</t>
  </si>
  <si>
    <t>Wie wird die christliche Botschaft idealerweise vermittelt?</t>
  </si>
  <si>
    <t xml:space="preserve">Die Rolle der schriftlichen und mündlichen "apostolischen" Traditionen im frühchristlichen Selbstverständnis skizzieren können. </t>
  </si>
  <si>
    <t xml:space="preserve">In der Primärquelle: Eine Person in jeder von 3 Etappen (1. Apostel, 2. Nachfolger der Apostel, 3. Neue) identifizieren. </t>
  </si>
  <si>
    <t>Was wird mit wem gefeiert?</t>
  </si>
  <si>
    <t>Sowohl die innere Logik der orthodoxischen Erzählung als auch historisch-kritische Bemerkungen daran erklären können.</t>
  </si>
  <si>
    <t>Hybridität und Selbstpositionierung zwischen jüdischen Gemeinden und Jesu Nachfolger anhand von Ritualen illustrieren können.</t>
  </si>
  <si>
    <t>Peter Brown (Interview?)</t>
  </si>
  <si>
    <t>Den Heiligkeitsbegriff mit Beispielen erklären können.</t>
  </si>
  <si>
    <t>Heiligkeitsfaktoren sammeln</t>
  </si>
  <si>
    <t>Wie sieht eine Kirche aus?</t>
  </si>
  <si>
    <t>something about liturgy?</t>
  </si>
  <si>
    <t>Erfahren, wie in einer nicht-westlichen Tradition einen Gottesdienst gefeiert wird.</t>
  </si>
  <si>
    <t>Einige Bereiche nennen können, in denen der langjährige Austausch zwischen islamischen und ostkirchlichen Gemeinschaften besonders bedeutsam war.</t>
  </si>
  <si>
    <t>So viele wie möglich "ersten" unter christlich-arabischen Autoren auflisten: z.B. erster Text, erste Bibelübersetzung, erster Autor den wir namentlich kennen.</t>
  </si>
  <si>
    <t>Baum-Winkler</t>
  </si>
  <si>
    <t>Die größten Gemeinsamkeiten und Unterschiede zwischen der Kirche des Ostens und den griechischen oder römischen Kirchen identifizieren.</t>
  </si>
  <si>
    <t>Orten auf einer Landkarte identifizieren, die mit der Kirche des Ostens verbunden sind.</t>
  </si>
  <si>
    <t>Volker Menze or Vince Bantu interview/Bantu book</t>
  </si>
  <si>
    <t>Einige Aspekte der Identitätserzählung der koptischen und syrisch-orthodoxischen Gemeinden zusammenfassen können.</t>
  </si>
  <si>
    <t>Gemeinsamkeiten und Unterschiede zwischen Kopten und Syrisch-Orthodoxen auflisten.</t>
  </si>
  <si>
    <t>GCT?</t>
  </si>
  <si>
    <t>Eckpunkte der armenischen und äthiopischen Selbstnarrativen erzählen können.</t>
  </si>
  <si>
    <t>Wichtige Ereignisse auf eine Zeitleiste platzieren.</t>
  </si>
  <si>
    <t xml:space="preserve">Über die Kursinhalte reflektieren und das eingeworbene Wissen für sich versichern. </t>
  </si>
  <si>
    <t>Notizen und Fragen (mit Blick auf die Lernziele) sammeln.</t>
  </si>
  <si>
    <t>Einführung &amp; Zielsetzung</t>
  </si>
  <si>
    <t>Abendmahl, Pessach und Ostern</t>
  </si>
  <si>
    <t>Begegnungen mit dem Islam</t>
  </si>
  <si>
    <t>Kirche des Ostens (ostsyrisch/assyrianisch)</t>
  </si>
  <si>
    <t>Kopten und Syrisch-Orthodoxen</t>
  </si>
  <si>
    <t>Armenier und Äthiopier</t>
  </si>
  <si>
    <t>Wie entwickelte sich die Kirche außerhalb des Römischen Reiches? (I)</t>
  </si>
  <si>
    <t>Wie entwickelte sich die Kirche außerhalb des Römischen Reiches? (II)</t>
  </si>
  <si>
    <t xml:space="preserve">Wie entfalteten sich die einheimischen Kirchen innerhalb des Römischen Reiches? </t>
  </si>
  <si>
    <t>Wie verstanden sich Christen und Muslime?</t>
  </si>
  <si>
    <t>good-friday-aleppo.jpg</t>
  </si>
  <si>
    <t>topic</t>
  </si>
  <si>
    <t>aksehir-red-church-cappadocia.jpg</t>
  </si>
  <si>
    <t>st-paul-harissa.jpg</t>
  </si>
  <si>
    <t>ihlara-valley-cappadocia.jpg</t>
  </si>
  <si>
    <t>armenian-bell.jpg</t>
  </si>
  <si>
    <t>seder.jpg</t>
  </si>
  <si>
    <t>deutschebibelgesellschaftApostelgeschichte12Lutherbibel</t>
  </si>
  <si>
    <t>aphrahat12UeberPascha1991, yuvalEasterPassoverEarly1999</t>
  </si>
  <si>
    <t xml:space="preserve">Das Datum des nächsten Ostern nach den Quartodecimans bzw. nach Aphrahats Vorgaben rechnen. </t>
  </si>
  <si>
    <t>slide-frontmatter</t>
  </si>
  <si>
    <t>slide-body1</t>
  </si>
  <si>
    <t>slide-body2</t>
  </si>
  <si>
    <t>slide-content</t>
  </si>
  <si>
    <t>slide-filename</t>
  </si>
  <si>
    <t>bauerEinleitungKapitelEdessa1964</t>
  </si>
  <si>
    <t>Eine positive und eine kritische Bemerkung zu Bauers These für sich notieren und bereit sein, diese im Plenum zu diskutieren.</t>
  </si>
  <si>
    <t>bethlehem-church-nativity.jpg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</si>
</sst>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$-F800]dddd\,\ mmmm\ dd\,\ yyyy"/>
    <numFmt numFmtId="166" formatCode="dd\.mm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Trebuchet MS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/>
    <xf numFmtId="166" fontId="6" fillId="0" borderId="1" xfId="0" applyNumberFormat="1" applyFont="1" applyBorder="1" applyAlignment="1">
      <alignment horizontal="left"/>
    </xf>
    <xf numFmtId="0" fontId="4" fillId="0" borderId="0" xfId="0" applyFont="1"/>
    <xf numFmtId="0" fontId="7" fillId="0" borderId="1" xfId="0" applyFont="1" applyBorder="1"/>
    <xf numFmtId="0" fontId="0" fillId="2" borderId="0" xfId="0" applyFill="1"/>
    <xf numFmtId="3" fontId="6" fillId="2" borderId="1" xfId="0" applyNumberFormat="1" applyFont="1" applyFill="1" applyBorder="1" applyAlignment="1">
      <alignment horizontal="right"/>
    </xf>
    <xf numFmtId="166" fontId="6" fillId="2" borderId="1" xfId="0" applyNumberFormat="1" applyFont="1" applyFill="1" applyBorder="1" applyAlignment="1">
      <alignment horizontal="left"/>
    </xf>
    <xf numFmtId="164" fontId="6" fillId="2" borderId="1" xfId="0" applyNumberFormat="1" applyFont="1" applyFill="1" applyBorder="1" applyAlignment="1">
      <alignment horizontal="left"/>
    </xf>
    <xf numFmtId="0" fontId="3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V16"/>
  <sheetViews>
    <sheetView tabSelected="1" topLeftCell="B1" zoomScale="142" zoomScaleNormal="140" workbookViewId="0">
      <pane xSplit="6" ySplit="1" topLeftCell="J2" activePane="bottomRight" state="frozen"/>
      <selection activeCell="B1" sqref="B1"/>
      <selection pane="topRight" activeCell="H1" sqref="H1"/>
      <selection pane="bottomLeft" activeCell="B2" sqref="B2"/>
      <selection pane="bottomRight" activeCell="K5" sqref="K5"/>
    </sheetView>
  </sheetViews>
  <sheetFormatPr baseColWidth="10" defaultColWidth="8.83203125" defaultRowHeight="15" x14ac:dyDescent="0.2"/>
  <cols>
    <col min="1" max="1" width="12.5" hidden="1" customWidth="1"/>
    <col min="2" max="2" width="3.5" style="5" customWidth="1"/>
    <col min="3" max="3" width="6.1640625" customWidth="1"/>
    <col min="4" max="4" width="15.33203125" style="6" customWidth="1"/>
    <col min="5" max="5" width="26.83203125" customWidth="1"/>
    <col min="6" max="6" width="39" customWidth="1"/>
    <col min="7" max="7" width="35.1640625" customWidth="1"/>
    <col min="8" max="8" width="61" customWidth="1"/>
    <col min="9" max="9" width="27.1640625" customWidth="1"/>
    <col min="10" max="10" width="13.1640625" style="5" bestFit="1" customWidth="1"/>
    <col min="11" max="11" width="12.5" bestFit="1" customWidth="1"/>
    <col min="12" max="12" width="31.83203125" bestFit="1" customWidth="1"/>
    <col min="13" max="13" width="16.6640625" bestFit="1" customWidth="1"/>
    <col min="14" max="15" width="77.83203125" customWidth="1"/>
    <col min="16" max="16" width="12.5" bestFit="1" customWidth="1"/>
    <col min="17" max="18" width="32.5" customWidth="1"/>
    <col min="19" max="19" width="39.6640625" customWidth="1"/>
  </cols>
  <sheetData>
    <row r="1" spans="1:22" ht="19.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75</v>
      </c>
      <c r="G1" s="1" t="s">
        <v>14</v>
      </c>
      <c r="H1" s="1" t="s">
        <v>13</v>
      </c>
      <c r="I1" s="1" t="s">
        <v>5</v>
      </c>
      <c r="J1" s="2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37</v>
      </c>
      <c r="P1" s="1" t="s">
        <v>11</v>
      </c>
      <c r="Q1" s="1" t="s">
        <v>12</v>
      </c>
      <c r="R1" s="1" t="s">
        <v>88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 ht="18" customHeight="1" x14ac:dyDescent="0.2">
      <c r="B2" s="3">
        <v>1</v>
      </c>
      <c r="C2" s="8">
        <v>45775</v>
      </c>
      <c r="D2" s="4" t="str">
        <f t="shared" ref="D2:D14" si="0">IF(LEN(C2),TEXT(C2, "YYYY-MM-DD") &amp; "-" &amp; B2 &amp; ".md",)</f>
        <v>2025-04-28-1.md</v>
      </c>
      <c r="E2" s="4" t="s">
        <v>20</v>
      </c>
      <c r="F2" s="4" t="s">
        <v>64</v>
      </c>
      <c r="G2" s="4" t="s">
        <v>19</v>
      </c>
      <c r="H2" s="7"/>
      <c r="I2" t="str">
        <f>B2 &amp; ". " &amp; F2 &amp; ": " &amp; G2</f>
        <v>1. Einführung &amp; Zielsetzung: Ist das Christentum eine westliche Religion?</v>
      </c>
      <c r="J2" s="3">
        <f t="shared" ref="J2:J14" si="1">B2</f>
        <v>1</v>
      </c>
      <c r="K2" t="s">
        <v>74</v>
      </c>
      <c r="L2" t="str">
        <f>SUBSTITUTE(SUBSTITUTE(SUBSTITUTE(SUBSTITUTE(B2 &amp; ". " &amp; F2,".",""),"&amp;","")," ","-"),"--","-")</f>
        <v>1-Einführung-Zielsetzung</v>
      </c>
      <c r="N2" s="17" t="s">
        <v>38</v>
      </c>
      <c r="P2" t="str">
        <f t="shared" ref="P2:P14" si="2">"["&amp;B2&amp;"]"</f>
        <v>[1]</v>
      </c>
      <c r="Q2" t="str">
        <f t="shared" ref="Q2:Q14" si="3">"---
layout: post
" &amp; B$1 &amp; ": " &amp; B2 &amp; "
" &amp; P$1 &amp; ": " &amp; P2 &amp; "
level: overview
---"</f>
        <v>---
layout: post
session: 1
tags: [1]
level: overview
---</v>
      </c>
      <c r="R2" t="str">
        <f>_xlfn.REGEXREPLACE(D2,"\.md","-slides.md")</f>
        <v>2025-04-28-1-slides.md</v>
      </c>
      <c r="S2" t="str">
        <f>"---
layout: reveal
title: '"&amp;G2&amp;"'
author: 'Nathan Gibson'
session: "&amp;B2&amp;"
tags: ["&amp;B2&amp;",slides]
category: slides
image: "&amp;K2&amp;"
parallaxBackgroundImage: 'assets/img/"&amp;K2&amp;"'
---
"</f>
        <v xml:space="preserve">---
layout: reveal
title: 'Ist das Christentum eine westliche Religion?'
author: 'Nathan Gibson'
session: 1
tags: [1,slides]
category: slides
image: good-friday-aleppo.jpg
parallaxBackgroundImage: 'assets/img/good-friday-aleppo.jpg'
---
</v>
      </c>
      <c r="T2" t="str">
        <f>"# Einführung ins Christentum
{: .r-fit-text}
### "&amp;G2&amp;"
Sommersemester 2025
Prof. Dr. Nathan Gibson
## 📈 Rückblick: Lernziel
"&amp;N1&amp;"
## 📈 Rückblick: 
## Projekt
## Einleitung
## Heutiges Lernziel
"&amp;N2</f>
        <v># Einführung ins Christentum
{: .r-fit-text}
### Ist das Christentum eine westliche Religion?
Sommersemester 2025
Prof. Dr. Nathan Gibson
## 📈 Rückblick: Lernziel
objective
## 📈 Rückblick: 
## Projekt
## Einleitung
## Heutiges Lernziel
1. Eigene Ziele im Kurs setzen.
2. Westliche Vorstellungen des Christentums erstmal hinterfragen.</v>
      </c>
      <c r="U2" t="str">
        <f>"
## Lektüre
## Diskussion
## Vorschau
"&amp;G3</f>
        <v xml:space="preserve">
## Lektüre
## Diskussion
## Vorschau
Wie wird die christliche Botschaft idealerweise vermittelt?</v>
      </c>
      <c r="V2" t="str">
        <f>_xlfn.CONCAT(S2:U2)</f>
        <v>---
layout: reveal
title: 'Ist das Christentum eine westliche Religion?'
author: 'Nathan Gibson'
session: 1
tags: [1,slides]
category: slides
image: good-friday-aleppo.jpg
parallaxBackgroundImage: 'assets/img/good-friday-aleppo.jpg'
---
# Einführung ins Christentum
{: .r-fit-text}
### Ist das Christentum eine westliche Religion?
Sommersemester 2025
Prof. Dr. Nathan Gibson
## 📈 Rückblick: Lernziel
objective
## 📈 Rückblick: 
## Projekt
## Einleitung
## Heutiges Lernziel
1. Eigene Ziele im Kurs setzen.
2. Westliche Vorstellungen des Christentums erstmal hinterfragen.
## Lektüre
## Diskussion
## Vorschau
Wie wird die christliche Botschaft idealerweise vermittelt?</v>
      </c>
    </row>
    <row r="3" spans="1:22" ht="18" customHeight="1" x14ac:dyDescent="0.2">
      <c r="B3" s="3">
        <v>2</v>
      </c>
      <c r="C3" s="8">
        <v>45782</v>
      </c>
      <c r="D3" s="4" t="str">
        <f t="shared" si="0"/>
        <v>2025-05-05-2.md</v>
      </c>
      <c r="E3" s="4" t="s">
        <v>31</v>
      </c>
      <c r="F3" s="4" t="s">
        <v>24</v>
      </c>
      <c r="G3" t="s">
        <v>39</v>
      </c>
      <c r="H3" t="s">
        <v>22</v>
      </c>
      <c r="I3" t="str">
        <f t="shared" ref="I3:I14" si="4">B3 &amp; ". " &amp; F3 &amp; ": " &amp; G3</f>
        <v>2. Heilige Schriften und die apostolische Tradition: Wie wird die christliche Botschaft idealerweise vermittelt?</v>
      </c>
      <c r="J3" s="3">
        <f t="shared" si="1"/>
        <v>2</v>
      </c>
      <c r="K3" t="s">
        <v>78</v>
      </c>
      <c r="L3" t="str">
        <f t="shared" ref="L3:L14" si="5">SUBSTITUTE(SUBSTITUTE(SUBSTITUTE(SUBSTITUTE(B3 &amp; ". " &amp; F3,".",""),"&amp;","")," ","-"),"--","-")</f>
        <v>2-Heilige-Schriften-und-die-apostolische-Tradition</v>
      </c>
      <c r="M3" s="18" t="s">
        <v>81</v>
      </c>
      <c r="N3" t="s">
        <v>40</v>
      </c>
      <c r="O3" t="s">
        <v>41</v>
      </c>
      <c r="P3" t="str">
        <f t="shared" si="2"/>
        <v>[2]</v>
      </c>
      <c r="Q3" t="str">
        <f t="shared" si="3"/>
        <v>---
layout: post
session: 2
tags: [2]
level: overview
---</v>
      </c>
      <c r="R3" t="str">
        <f t="shared" ref="R3:R14" si="6">_xlfn.REGEXREPLACE(D3,"\.md","-slides.md")</f>
        <v>2025-05-05-2-slides.md</v>
      </c>
      <c r="S3" t="str">
        <f t="shared" ref="S3:S14" si="7">"---
layout: reveal
title: '"&amp;G3&amp;"'
author: 'Nathan Gibson'
session: "&amp;B3&amp;"
tags: ["&amp;B3&amp;",slides]
category: slides
image: "&amp;K3&amp;"
parallaxBackgroundImage: 'assets/img/"&amp;K3&amp;"'
---
"</f>
        <v xml:space="preserve">---
layout: reveal
title: 'Wie wird die christliche Botschaft idealerweise vermittelt?'
author: 'Nathan Gibson'
session: 2
tags: [2,slides]
category: slides
image: ihlara-valley-cappadocia.jpg
parallaxBackgroundImage: 'assets/img/ihlara-valley-cappadocia.jpg'
---
</v>
      </c>
      <c r="T3" t="str">
        <f t="shared" ref="T3:T14" si="8">"# Einführung ins Christentum
{: .r-fit-text}
### "&amp;G3&amp;"
Sommersemester 2025
Prof. Dr. Nathan Gibson
## 📈 Rückblick: Lernziel
"&amp;N2&amp;"
## 📈 Rückblick: 
## Projekt
## Einleitung
## Heutiges Lernziel
"&amp;N3</f>
        <v xml:space="preserve"># Einführung ins Christentum
{: .r-fit-text}
### Wie wird die christliche Botschaft idealerweise vermittelt?
Sommersemester 2025
Prof. Dr. Nathan Gibson
## 📈 Rückblick: Lernziel
1. Eigene Ziele im Kurs setzen.
2. Westliche Vorstellungen des Christentums erstmal hinterfragen.
## 📈 Rückblick: 
## Projekt
## Einleitung
## Heutiges Lernziel
Die Rolle der schriftlichen und mündlichen "apostolischen" Traditionen im frühchristlichen Selbstverständnis skizzieren können. </v>
      </c>
      <c r="U3" t="str">
        <f t="shared" ref="U3:U14" si="9">"
## Lektüre
## Diskussion
## Vorschau
"&amp;G4</f>
        <v xml:space="preserve">
## Lektüre
## Diskussion
## Vorschau
Was wird mit wem gefeiert?</v>
      </c>
      <c r="V3" t="str">
        <f t="shared" ref="V3:V14" si="10">_xlfn.CONCAT(S3:U3)</f>
        <v>---
layout: reveal
title: 'Wie wird die christliche Botschaft idealerweise vermittelt?'
author: 'Nathan Gibson'
session: 2
tags: [2,slides]
category: slides
image: ihlara-valley-cappadocia.jpg
parallaxBackgroundImage: 'assets/img/ihlara-valley-cappadocia.jpg'
---
# Einführung ins Christentum
{: .r-fit-text}
### Wie wird die christliche Botschaft idealerweise vermittelt?
Sommersemester 2025
Prof. Dr. Nathan Gibson
## 📈 Rückblick: Lernziel
1. Eigene Ziele im Kurs setzen.
2. Westliche Vorstellungen des Christentums erstmal hinterfragen.
## 📈 Rückblick: 
## Projekt
## Einleitung
## Heutiges Lernziel
Die Rolle der schriftlichen und mündlichen "apostolischen" Traditionen im frühchristlichen Selbstverständnis skizzieren können. 
## Lektüre
## Diskussion
## Vorschau
Was wird mit wem gefeiert?</v>
      </c>
    </row>
    <row r="4" spans="1:22" ht="18" customHeight="1" x14ac:dyDescent="0.2">
      <c r="B4" s="3">
        <v>3</v>
      </c>
      <c r="C4" s="8">
        <v>45789</v>
      </c>
      <c r="D4" s="4" t="str">
        <f t="shared" si="0"/>
        <v>2025-05-12-3.md</v>
      </c>
      <c r="E4" s="4" t="s">
        <v>31</v>
      </c>
      <c r="F4" s="4" t="s">
        <v>65</v>
      </c>
      <c r="G4" t="s">
        <v>42</v>
      </c>
      <c r="H4" t="s">
        <v>28</v>
      </c>
      <c r="I4" t="str">
        <f t="shared" si="4"/>
        <v>3. Abendmahl, Pessach und Ostern: Was wird mit wem gefeiert?</v>
      </c>
      <c r="J4" s="3">
        <f t="shared" si="1"/>
        <v>3</v>
      </c>
      <c r="K4" t="s">
        <v>80</v>
      </c>
      <c r="L4" t="str">
        <f t="shared" si="5"/>
        <v>3-Abendmahl,-Pessach-und-Ostern</v>
      </c>
      <c r="M4" s="16" t="s">
        <v>82</v>
      </c>
      <c r="N4" t="s">
        <v>44</v>
      </c>
      <c r="O4" t="s">
        <v>83</v>
      </c>
      <c r="P4" t="str">
        <f t="shared" si="2"/>
        <v>[3]</v>
      </c>
      <c r="Q4" t="str">
        <f t="shared" si="3"/>
        <v>---
layout: post
session: 3
tags: [3]
level: overview
---</v>
      </c>
      <c r="R4" t="str">
        <f t="shared" si="6"/>
        <v>2025-05-12-3-slides.md</v>
      </c>
      <c r="S4" t="str">
        <f t="shared" si="7"/>
        <v xml:space="preserve">---
layout: reveal
title: 'Was wird mit wem gefeiert?'
author: 'Nathan Gibson'
session: 3
tags: [3,slides]
category: slides
image: seder.jpg
parallaxBackgroundImage: 'assets/img/seder.jpg'
---
</v>
      </c>
      <c r="T4" t="str">
        <f t="shared" si="8"/>
        <v># Einführung ins Christentum
{: .r-fit-text}
### Was wird mit wem gefeiert?
Sommersemester 2025
Prof. Dr. Nathan Gibson
## 📈 Rückblick: Lernziel
Die Rolle der schriftlichen und mündlichen "apostolischen" Traditionen im frühchristlichen Selbstverständnis skizzieren können. 
## 📈 Rückblick: 
## Projekt
## Einleitung
## Heutiges Lernziel
Hybridität und Selbstpositionierung zwischen jüdischen Gemeinden und Jesu Nachfolger anhand von Ritualen illustrieren können.</v>
      </c>
      <c r="U4" t="str">
        <f t="shared" si="9"/>
        <v xml:space="preserve">
## Lektüre
## Diskussion
## Vorschau
Warum ist es wichtig, richtig zu glauben?</v>
      </c>
      <c r="V4" t="str">
        <f t="shared" si="10"/>
        <v>---
layout: reveal
title: 'Was wird mit wem gefeiert?'
author: 'Nathan Gibson'
session: 3
tags: [3,slides]
category: slides
image: seder.jpg
parallaxBackgroundImage: 'assets/img/seder.jpg'
---
# Einführung ins Christentum
{: .r-fit-text}
### Was wird mit wem gefeiert?
Sommersemester 2025
Prof. Dr. Nathan Gibson
## 📈 Rückblick: Lernziel
Die Rolle der schriftlichen und mündlichen "apostolischen" Traditionen im frühchristlichen Selbstverständnis skizzieren können. 
## 📈 Rückblick: 
## Projekt
## Einleitung
## Heutiges Lernziel
Hybridität und Selbstpositionierung zwischen jüdischen Gemeinden und Jesu Nachfolger anhand von Ritualen illustrieren können.
## Lektüre
## Diskussion
## Vorschau
Warum ist es wichtig, richtig zu glauben?</v>
      </c>
    </row>
    <row r="5" spans="1:22" ht="18" customHeight="1" x14ac:dyDescent="0.2">
      <c r="B5" s="3">
        <v>4</v>
      </c>
      <c r="C5" s="8">
        <v>45796</v>
      </c>
      <c r="D5" s="4" t="str">
        <f t="shared" si="0"/>
        <v>2025-05-19-4.md</v>
      </c>
      <c r="E5" s="4" t="s">
        <v>31</v>
      </c>
      <c r="F5" s="4" t="s">
        <v>25</v>
      </c>
      <c r="G5" t="s">
        <v>27</v>
      </c>
      <c r="H5" s="4" t="s">
        <v>23</v>
      </c>
      <c r="I5" t="str">
        <f t="shared" si="4"/>
        <v>4. Orthodoxie und Häresie: Warum ist es wichtig, richtig zu glauben?</v>
      </c>
      <c r="J5" s="3">
        <f t="shared" si="1"/>
        <v>4</v>
      </c>
      <c r="K5" t="s">
        <v>91</v>
      </c>
      <c r="L5" t="str">
        <f t="shared" si="5"/>
        <v>4-Orthodoxie-und-Häresie</v>
      </c>
      <c r="M5" s="16" t="s">
        <v>89</v>
      </c>
      <c r="N5" t="s">
        <v>43</v>
      </c>
      <c r="O5" t="s">
        <v>90</v>
      </c>
      <c r="P5" t="str">
        <f t="shared" si="2"/>
        <v>[4]</v>
      </c>
      <c r="Q5" t="str">
        <f t="shared" si="3"/>
        <v>---
layout: post
session: 4
tags: [4]
level: overview
---</v>
      </c>
      <c r="R5" t="str">
        <f t="shared" si="6"/>
        <v>2025-05-19-4-slides.md</v>
      </c>
      <c r="S5" t="str">
        <f t="shared" si="7"/>
        <v xml:space="preserve">---
layout: reveal
title: 'Warum ist es wichtig, richtig zu glauben?'
author: 'Nathan Gibson'
session: 4
tags: [4,slides]
category: slides
image: bethlehem-church-nativity.jpg
parallaxBackgroundImage: 'assets/img/bethlehem-church-nativity.jpg'
---
</v>
      </c>
      <c r="T5" t="str">
        <f t="shared" si="8"/>
        <v># Einführung ins Christentum
{: .r-fit-text}
### Warum ist es wichtig, richtig zu glauben?
Sommersemester 2025
Prof. Dr. Nathan Gibson
## 📈 Rückblick: Lernziel
Hybridität und Selbstpositionierung zwischen jüdischen Gemeinden und Jesu Nachfolger anhand von Ritualen illustrieren können.
## 📈 Rückblick: 
## Projekt
## Einleitung
## Heutiges Lernziel
Sowohl die innere Logik der orthodoxischen Erzählung als auch historisch-kritische Bemerkungen daran erklären können.</v>
      </c>
      <c r="U5" t="str">
        <f t="shared" si="9"/>
        <v xml:space="preserve">
## Lektüre
## Diskussion
## Vorschau
Wer und was ist heilig?</v>
      </c>
      <c r="V5" t="str">
        <f t="shared" si="10"/>
        <v>---
layout: reveal
title: 'Warum ist es wichtig, richtig zu glauben?'
author: 'Nathan Gibson'
session: 4
tags: [4,slides]
category: slides
image: bethlehem-church-nativity.jpg
parallaxBackgroundImage: 'assets/img/bethlehem-church-nativity.jpg'
---
# Einführung ins Christentum
{: .r-fit-text}
### Warum ist es wichtig, richtig zu glauben?
Sommersemester 2025
Prof. Dr. Nathan Gibson
## 📈 Rückblick: Lernziel
Hybridität und Selbstpositionierung zwischen jüdischen Gemeinden und Jesu Nachfolger anhand von Ritualen illustrieren können.
## 📈 Rückblick: 
## Projekt
## Einleitung
## Heutiges Lernziel
Sowohl die innere Logik der orthodoxischen Erzählung als auch historisch-kritische Bemerkungen daran erklären können.
## Lektüre
## Diskussion
## Vorschau
Wer und was ist heilig?</v>
      </c>
    </row>
    <row r="6" spans="1:22" ht="18" customHeight="1" x14ac:dyDescent="0.2">
      <c r="B6" s="3">
        <v>5</v>
      </c>
      <c r="C6" s="8">
        <v>45803</v>
      </c>
      <c r="D6" s="4" t="str">
        <f t="shared" si="0"/>
        <v>2025-05-26-5.md</v>
      </c>
      <c r="E6" s="4" t="s">
        <v>31</v>
      </c>
      <c r="F6" s="4" t="s">
        <v>26</v>
      </c>
      <c r="G6" t="s">
        <v>30</v>
      </c>
      <c r="H6" t="s">
        <v>29</v>
      </c>
      <c r="I6" t="str">
        <f t="shared" si="4"/>
        <v>5. Askese, Martyrium, Wunder und Wallfahrt: Wer und was ist heilig?</v>
      </c>
      <c r="J6" s="3">
        <f t="shared" si="1"/>
        <v>5</v>
      </c>
      <c r="K6" t="s">
        <v>76</v>
      </c>
      <c r="L6" t="str">
        <f t="shared" si="5"/>
        <v>5-Askese,-Martyrium,-Wunder-und-Wallfahrt</v>
      </c>
      <c r="M6" s="16" t="s">
        <v>45</v>
      </c>
      <c r="N6" t="s">
        <v>46</v>
      </c>
      <c r="O6" t="s">
        <v>47</v>
      </c>
      <c r="P6" t="str">
        <f t="shared" si="2"/>
        <v>[5]</v>
      </c>
      <c r="Q6" t="str">
        <f t="shared" si="3"/>
        <v>---
layout: post
session: 5
tags: [5]
level: overview
---</v>
      </c>
      <c r="R6" t="str">
        <f t="shared" si="6"/>
        <v>2025-05-26-5-slides.md</v>
      </c>
      <c r="S6" t="str">
        <f t="shared" si="7"/>
        <v xml:space="preserve">---
layout: reveal
title: 'Wer und was ist heilig?'
author: 'Nathan Gibson'
session: 5
tags: [5,slides]
category: slides
image: aksehir-red-church-cappadocia.jpg
parallaxBackgroundImage: 'assets/img/aksehir-red-church-cappadocia.jpg'
---
</v>
      </c>
      <c r="T6" t="str">
        <f t="shared" si="8"/>
        <v># Einführung ins Christentum
{: .r-fit-text}
### Wer und was ist heilig?
Sommersemester 2025
Prof. Dr. Nathan Gibson
## 📈 Rückblick: Lernziel
Sowohl die innere Logik der orthodoxischen Erzählung als auch historisch-kritische Bemerkungen daran erklären können.
## 📈 Rückblick: 
## Projekt
## Einleitung
## Heutiges Lernziel
Den Heiligkeitsbegriff mit Beispielen erklären können.</v>
      </c>
      <c r="U6" t="str">
        <f t="shared" si="9"/>
        <v xml:space="preserve">
## Lektüre
## Diskussion
## Vorschau
Wie sieht eine Kirche aus?</v>
      </c>
      <c r="V6" t="str">
        <f t="shared" si="10"/>
        <v>---
layout: reveal
title: 'Wer und was ist heilig?'
author: 'Nathan Gibson'
session: 5
tags: [5,slides]
category: slides
image: aksehir-red-church-cappadocia.jpg
parallaxBackgroundImage: 'assets/img/aksehir-red-church-cappadocia.jpg'
---
# Einführung ins Christentum
{: .r-fit-text}
### Wer und was ist heilig?
Sommersemester 2025
Prof. Dr. Nathan Gibson
## 📈 Rückblick: Lernziel
Sowohl die innere Logik der orthodoxischen Erzählung als auch historisch-kritische Bemerkungen daran erklären können.
## 📈 Rückblick: 
## Projekt
## Einleitung
## Heutiges Lernziel
Den Heiligkeitsbegriff mit Beispielen erklären können.
## Lektüre
## Diskussion
## Vorschau
Wie sieht eine Kirche aus?</v>
      </c>
    </row>
    <row r="7" spans="1:22" ht="18" customHeight="1" x14ac:dyDescent="0.2">
      <c r="B7" s="3">
        <v>6</v>
      </c>
      <c r="C7" s="8">
        <v>45810</v>
      </c>
      <c r="D7" s="4" t="str">
        <f t="shared" si="0"/>
        <v>2025-06-02-6.md</v>
      </c>
      <c r="E7" s="4" t="s">
        <v>21</v>
      </c>
      <c r="F7" s="4" t="s">
        <v>21</v>
      </c>
      <c r="G7" t="s">
        <v>48</v>
      </c>
      <c r="I7" t="str">
        <f t="shared" si="4"/>
        <v>6. Exkursion: Wie sieht eine Kirche aus?</v>
      </c>
      <c r="J7" s="3">
        <f t="shared" si="1"/>
        <v>6</v>
      </c>
      <c r="L7" t="str">
        <f t="shared" si="5"/>
        <v>6-Exkursion</v>
      </c>
      <c r="M7" s="16" t="s">
        <v>49</v>
      </c>
      <c r="N7" t="s">
        <v>50</v>
      </c>
      <c r="P7" t="str">
        <f t="shared" si="2"/>
        <v>[6]</v>
      </c>
      <c r="Q7" t="str">
        <f t="shared" si="3"/>
        <v>---
layout: post
session: 6
tags: [6]
level: overview
---</v>
      </c>
      <c r="R7" t="str">
        <f t="shared" si="6"/>
        <v>2025-06-02-6-slides.md</v>
      </c>
      <c r="S7" t="str">
        <f t="shared" si="7"/>
        <v xml:space="preserve">---
layout: reveal
title: 'Wie sieht eine Kirche aus?'
author: 'Nathan Gibson'
session: 6
tags: [6,slides]
category: slides
image: 
parallaxBackgroundImage: 'assets/img/'
---
</v>
      </c>
      <c r="T7" t="str">
        <f t="shared" si="8"/>
        <v># Einführung ins Christentum
{: .r-fit-text}
### Wie sieht eine Kirche aus?
Sommersemester 2025
Prof. Dr. Nathan Gibson
## 📈 Rückblick: Lernziel
Den Heiligkeitsbegriff mit Beispielen erklären können.
## 📈 Rückblick: 
## Projekt
## Einleitung
## Heutiges Lernziel
Erfahren, wie in einer nicht-westlichen Tradition einen Gottesdienst gefeiert wird.</v>
      </c>
      <c r="U7" t="str">
        <f t="shared" si="9"/>
        <v xml:space="preserve">
## Lektüre
## Diskussion
## Vorschau
</v>
      </c>
      <c r="V7" t="str">
        <f t="shared" si="10"/>
        <v xml:space="preserve">---
layout: reveal
title: 'Wie sieht eine Kirche aus?'
author: 'Nathan Gibson'
session: 6
tags: [6,slides]
category: slides
image: 
parallaxBackgroundImage: 'assets/img/'
---
# Einführung ins Christentum
{: .r-fit-text}
### Wie sieht eine Kirche aus?
Sommersemester 2025
Prof. Dr. Nathan Gibson
## 📈 Rückblick: Lernziel
Den Heiligkeitsbegriff mit Beispielen erklären können.
## 📈 Rückblick: 
## Projekt
## Einleitung
## Heutiges Lernziel
Erfahren, wie in einer nicht-westlichen Tradition einen Gottesdienst gefeiert wird.
## Lektüre
## Diskussion
## Vorschau
</v>
      </c>
    </row>
    <row r="8" spans="1:22" s="11" customFormat="1" ht="18" customHeight="1" x14ac:dyDescent="0.2">
      <c r="B8" s="12"/>
      <c r="C8" s="13">
        <v>45817</v>
      </c>
      <c r="D8" s="14" t="s">
        <v>15</v>
      </c>
      <c r="E8" s="14"/>
      <c r="F8" s="14" t="s">
        <v>17</v>
      </c>
      <c r="I8" t="str">
        <f t="shared" si="4"/>
        <v xml:space="preserve">. Pfingstmontag (Feiertag): </v>
      </c>
      <c r="J8" s="12"/>
      <c r="M8" s="15"/>
      <c r="R8" t="str">
        <f t="shared" si="6"/>
        <v>2025-06-09-pfingstmontag-slides.md</v>
      </c>
      <c r="S8" t="str">
        <f t="shared" si="7"/>
        <v xml:space="preserve">---
layout: reveal
title: ''
author: 'Nathan Gibson'
session: 
tags: [,slides]
category: slides
image: 
parallaxBackgroundImage: 'assets/img/'
---
</v>
      </c>
      <c r="T8" t="str">
        <f t="shared" si="8"/>
        <v xml:space="preserve"># Einführung ins Christentum
{: .r-fit-text}
### 
Sommersemester 2025
Prof. Dr. Nathan Gibson
## 📈 Rückblick: Lernziel
Erfahren, wie in einer nicht-westlichen Tradition einen Gottesdienst gefeiert wird.
## 📈 Rückblick: 
## Projekt
## Einleitung
## Heutiges Lernziel
</v>
      </c>
      <c r="U8" t="str">
        <f t="shared" si="9"/>
        <v xml:space="preserve">
## Lektüre
## Diskussion
## Vorschau
Wie verstanden sich Christen und Muslime?</v>
      </c>
      <c r="V8" t="str">
        <f t="shared" si="10"/>
        <v>---
layout: reveal
title: ''
author: 'Nathan Gibson'
session: 
tags: [,slides]
category: slides
image: 
parallaxBackgroundImage: 'assets/img/'
---
# Einführung ins Christentum
{: .r-fit-text}
### 
Sommersemester 2025
Prof. Dr. Nathan Gibson
## 📈 Rückblick: Lernziel
Erfahren, wie in einer nicht-westlichen Tradition einen Gottesdienst gefeiert wird.
## 📈 Rückblick: 
## Projekt
## Einleitung
## Heutiges Lernziel
## Lektüre
## Diskussion
## Vorschau
Wie verstanden sich Christen und Muslime?</v>
      </c>
    </row>
    <row r="9" spans="1:22" ht="18" customHeight="1" x14ac:dyDescent="0.2">
      <c r="B9" s="3">
        <v>7</v>
      </c>
      <c r="C9" s="8">
        <v>45824</v>
      </c>
      <c r="D9" s="4" t="str">
        <f t="shared" si="0"/>
        <v>2025-06-16-7.md</v>
      </c>
      <c r="E9" s="4" t="s">
        <v>32</v>
      </c>
      <c r="F9" s="4" t="s">
        <v>66</v>
      </c>
      <c r="G9" t="s">
        <v>73</v>
      </c>
      <c r="I9" t="str">
        <f t="shared" si="4"/>
        <v>7. Begegnungen mit dem Islam: Wie verstanden sich Christen und Muslime?</v>
      </c>
      <c r="J9" s="3">
        <f t="shared" si="1"/>
        <v>7</v>
      </c>
      <c r="K9" t="s">
        <v>77</v>
      </c>
      <c r="L9" t="str">
        <f t="shared" si="5"/>
        <v>7-Begegnungen-mit-dem-Islam</v>
      </c>
      <c r="M9" s="16" t="s">
        <v>33</v>
      </c>
      <c r="N9" t="s">
        <v>51</v>
      </c>
      <c r="O9" t="s">
        <v>52</v>
      </c>
      <c r="P9" t="str">
        <f t="shared" si="2"/>
        <v>[7]</v>
      </c>
      <c r="Q9" t="str">
        <f t="shared" si="3"/>
        <v>---
layout: post
session: 7
tags: [7]
level: overview
---</v>
      </c>
      <c r="R9" t="str">
        <f t="shared" si="6"/>
        <v>2025-06-16-7-slides.md</v>
      </c>
      <c r="S9" t="str">
        <f t="shared" si="7"/>
        <v xml:space="preserve">---
layout: reveal
title: 'Wie verstanden sich Christen und Muslime?'
author: 'Nathan Gibson'
session: 7
tags: [7,slides]
category: slides
image: st-paul-harissa.jpg
parallaxBackgroundImage: 'assets/img/st-paul-harissa.jpg'
---
</v>
      </c>
      <c r="T9" t="str">
        <f t="shared" si="8"/>
        <v># Einführung ins Christentum
{: .r-fit-text}
### Wie verstanden sich Christen und Muslime?
Sommersemester 2025
Prof. Dr. Nathan Gibson
## 📈 Rückblick: Lernziel
## 📈 Rückblick: 
## Projekt
## Einleitung
## Heutiges Lernziel
Einige Bereiche nennen können, in denen der langjährige Austausch zwischen islamischen und ostkirchlichen Gemeinschaften besonders bedeutsam war.</v>
      </c>
      <c r="U9" t="str">
        <f t="shared" si="9"/>
        <v xml:space="preserve">
## Lektüre
## Diskussion
## Vorschau
Wie entwickelte sich die Kirche außerhalb des Römischen Reiches? (I)</v>
      </c>
      <c r="V9" t="str">
        <f t="shared" si="10"/>
        <v>---
layout: reveal
title: 'Wie verstanden sich Christen und Muslime?'
author: 'Nathan Gibson'
session: 7
tags: [7,slides]
category: slides
image: st-paul-harissa.jpg
parallaxBackgroundImage: 'assets/img/st-paul-harissa.jpg'
---
# Einführung ins Christentum
{: .r-fit-text}
### Wie verstanden sich Christen und Muslime?
Sommersemester 2025
Prof. Dr. Nathan Gibson
## 📈 Rückblick: Lernziel
## 📈 Rückblick: 
## Projekt
## Einleitung
## Heutiges Lernziel
Einige Bereiche nennen können, in denen der langjährige Austausch zwischen islamischen und ostkirchlichen Gemeinschaften besonders bedeutsam war.
## Lektüre
## Diskussion
## Vorschau
Wie entwickelte sich die Kirche außerhalb des Römischen Reiches? (I)</v>
      </c>
    </row>
    <row r="10" spans="1:22" ht="18" customHeight="1" x14ac:dyDescent="0.2">
      <c r="B10" s="3">
        <v>8</v>
      </c>
      <c r="C10" s="8">
        <v>45831</v>
      </c>
      <c r="D10" s="4" t="str">
        <f t="shared" si="0"/>
        <v>2025-06-23-8.md</v>
      </c>
      <c r="E10" s="4" t="s">
        <v>32</v>
      </c>
      <c r="F10" s="4" t="s">
        <v>67</v>
      </c>
      <c r="G10" t="s">
        <v>70</v>
      </c>
      <c r="I10" t="str">
        <f t="shared" si="4"/>
        <v>8. Kirche des Ostens (ostsyrisch/assyrianisch): Wie entwickelte sich die Kirche außerhalb des Römischen Reiches? (I)</v>
      </c>
      <c r="J10" s="3">
        <f t="shared" si="1"/>
        <v>8</v>
      </c>
      <c r="L10" t="str">
        <f t="shared" si="5"/>
        <v>8-Kirche-des-Ostens-(ostsyrisch/assyrianisch)</v>
      </c>
      <c r="M10" s="16" t="s">
        <v>53</v>
      </c>
      <c r="N10" t="s">
        <v>54</v>
      </c>
      <c r="O10" t="s">
        <v>55</v>
      </c>
      <c r="P10" t="str">
        <f t="shared" si="2"/>
        <v>[8]</v>
      </c>
      <c r="Q10" t="str">
        <f t="shared" si="3"/>
        <v>---
layout: post
session: 8
tags: [8]
level: overview
---</v>
      </c>
      <c r="R10" t="str">
        <f t="shared" si="6"/>
        <v>2025-06-23-8-slides.md</v>
      </c>
      <c r="S10" t="str">
        <f t="shared" si="7"/>
        <v xml:space="preserve">---
layout: reveal
title: 'Wie entwickelte sich die Kirche außerhalb des Römischen Reiches? (I)'
author: 'Nathan Gibson'
session: 8
tags: [8,slides]
category: slides
image: 
parallaxBackgroundImage: 'assets/img/'
---
</v>
      </c>
      <c r="T10" t="str">
        <f t="shared" si="8"/>
        <v># Einführung ins Christentum
{: .r-fit-text}
### Wie entwickelte sich die Kirche außerhalb des Römischen Reiches? (I)
Sommersemester 2025
Prof. Dr. Nathan Gibson
## 📈 Rückblick: Lernziel
Einige Bereiche nennen können, in denen der langjährige Austausch zwischen islamischen und ostkirchlichen Gemeinschaften besonders bedeutsam war.
## 📈 Rückblick: 
## Projekt
## Einleitung
## Heutiges Lernziel
Die größten Gemeinsamkeiten und Unterschiede zwischen der Kirche des Ostens und den griechischen oder römischen Kirchen identifizieren.</v>
      </c>
      <c r="U10" t="str">
        <f t="shared" si="9"/>
        <v xml:space="preserve">
## Lektüre
## Diskussion
## Vorschau
Wie entfalteten sich die einheimischen Kirchen innerhalb des Römischen Reiches? </v>
      </c>
      <c r="V10" t="str">
        <f t="shared" si="10"/>
        <v xml:space="preserve">---
layout: reveal
title: 'Wie entwickelte sich die Kirche außerhalb des Römischen Reiches? (I)'
author: 'Nathan Gibson'
session: 8
tags: [8,slides]
category: slides
image: 
parallaxBackgroundImage: 'assets/img/'
---
# Einführung ins Christentum
{: .r-fit-text}
### Wie entwickelte sich die Kirche außerhalb des Römischen Reiches? (I)
Sommersemester 2025
Prof. Dr. Nathan Gibson
## 📈 Rückblick: Lernziel
Einige Bereiche nennen können, in denen der langjährige Austausch zwischen islamischen und ostkirchlichen Gemeinschaften besonders bedeutsam war.
## 📈 Rückblick: 
## Projekt
## Einleitung
## Heutiges Lernziel
Die größten Gemeinsamkeiten und Unterschiede zwischen der Kirche des Ostens und den griechischen oder römischen Kirchen identifizieren.
## Lektüre
## Diskussion
## Vorschau
Wie entfalteten sich die einheimischen Kirchen innerhalb des Römischen Reiches? </v>
      </c>
    </row>
    <row r="11" spans="1:22" ht="18" customHeight="1" x14ac:dyDescent="0.2">
      <c r="B11" s="3">
        <v>9</v>
      </c>
      <c r="C11" s="8">
        <v>45838</v>
      </c>
      <c r="D11" s="4" t="str">
        <f t="shared" si="0"/>
        <v>2025-06-30-9.md</v>
      </c>
      <c r="E11" s="4" t="s">
        <v>32</v>
      </c>
      <c r="F11" s="4" t="s">
        <v>68</v>
      </c>
      <c r="G11" t="s">
        <v>72</v>
      </c>
      <c r="I11" t="str">
        <f t="shared" si="4"/>
        <v xml:space="preserve">9. Kopten und Syrisch-Orthodoxen: Wie entfalteten sich die einheimischen Kirchen innerhalb des Römischen Reiches? </v>
      </c>
      <c r="J11" s="3">
        <f t="shared" si="1"/>
        <v>9</v>
      </c>
      <c r="L11" t="str">
        <f t="shared" si="5"/>
        <v>9-Kopten-und-Syrisch-Orthodoxen</v>
      </c>
      <c r="M11" s="16" t="s">
        <v>56</v>
      </c>
      <c r="N11" t="s">
        <v>57</v>
      </c>
      <c r="O11" t="s">
        <v>58</v>
      </c>
      <c r="P11" t="str">
        <f t="shared" si="2"/>
        <v>[9]</v>
      </c>
      <c r="Q11" t="str">
        <f t="shared" si="3"/>
        <v>---
layout: post
session: 9
tags: [9]
level: overview
---</v>
      </c>
      <c r="R11" t="str">
        <f t="shared" si="6"/>
        <v>2025-06-30-9-slides.md</v>
      </c>
      <c r="S11" t="str">
        <f t="shared" si="7"/>
        <v xml:space="preserve">---
layout: reveal
title: 'Wie entfalteten sich die einheimischen Kirchen innerhalb des Römischen Reiches? '
author: 'Nathan Gibson'
session: 9
tags: [9,slides]
category: slides
image: 
parallaxBackgroundImage: 'assets/img/'
---
</v>
      </c>
      <c r="T11" t="str">
        <f t="shared" si="8"/>
        <v># Einführung ins Christentum
{: .r-fit-text}
### Wie entfalteten sich die einheimischen Kirchen innerhalb des Römischen Reiches? 
Sommersemester 2025
Prof. Dr. Nathan Gibson
## 📈 Rückblick: Lernziel
Die größten Gemeinsamkeiten und Unterschiede zwischen der Kirche des Ostens und den griechischen oder römischen Kirchen identifizieren.
## 📈 Rückblick: 
## Projekt
## Einleitung
## Heutiges Lernziel
Einige Aspekte der Identitätserzählung der koptischen und syrisch-orthodoxischen Gemeinden zusammenfassen können.</v>
      </c>
      <c r="U11" t="str">
        <f t="shared" si="9"/>
        <v xml:space="preserve">
## Lektüre
## Diskussion
## Vorschau
</v>
      </c>
      <c r="V11" t="str">
        <f t="shared" si="10"/>
        <v xml:space="preserve">---
layout: reveal
title: 'Wie entfalteten sich die einheimischen Kirchen innerhalb des Römischen Reiches? '
author: 'Nathan Gibson'
session: 9
tags: [9,slides]
category: slides
image: 
parallaxBackgroundImage: 'assets/img/'
---
# Einführung ins Christentum
{: .r-fit-text}
### Wie entfalteten sich die einheimischen Kirchen innerhalb des Römischen Reiches? 
Sommersemester 2025
Prof. Dr. Nathan Gibson
## 📈 Rückblick: Lernziel
Die größten Gemeinsamkeiten und Unterschiede zwischen der Kirche des Ostens und den griechischen oder römischen Kirchen identifizieren.
## 📈 Rückblick: 
## Projekt
## Einleitung
## Heutiges Lernziel
Einige Aspekte der Identitätserzählung der koptischen und syrisch-orthodoxischen Gemeinden zusammenfassen können.
## Lektüre
## Diskussion
## Vorschau
</v>
      </c>
    </row>
    <row r="12" spans="1:22" s="11" customFormat="1" ht="18" customHeight="1" x14ac:dyDescent="0.2">
      <c r="B12" s="12"/>
      <c r="C12" s="13">
        <v>45845</v>
      </c>
      <c r="D12" s="14" t="s">
        <v>16</v>
      </c>
      <c r="E12" s="14"/>
      <c r="F12" s="14" t="s">
        <v>18</v>
      </c>
      <c r="I12" t="str">
        <f t="shared" si="4"/>
        <v xml:space="preserve">. Sommerfest anstatt Grundkurs: </v>
      </c>
      <c r="J12" s="12"/>
      <c r="M12" s="15"/>
      <c r="R12" t="str">
        <f t="shared" si="6"/>
        <v>2025-06-09-sommerfest-slides.md</v>
      </c>
      <c r="S12" t="str">
        <f t="shared" si="7"/>
        <v xml:space="preserve">---
layout: reveal
title: ''
author: 'Nathan Gibson'
session: 
tags: [,slides]
category: slides
image: 
parallaxBackgroundImage: 'assets/img/'
---
</v>
      </c>
      <c r="T12" t="str">
        <f t="shared" si="8"/>
        <v xml:space="preserve"># Einführung ins Christentum
{: .r-fit-text}
### 
Sommersemester 2025
Prof. Dr. Nathan Gibson
## 📈 Rückblick: Lernziel
Einige Aspekte der Identitätserzählung der koptischen und syrisch-orthodoxischen Gemeinden zusammenfassen können.
## 📈 Rückblick: 
## Projekt
## Einleitung
## Heutiges Lernziel
</v>
      </c>
      <c r="U12" t="str">
        <f t="shared" si="9"/>
        <v xml:space="preserve">
## Lektüre
## Diskussion
## Vorschau
Wie entwickelte sich die Kirche außerhalb des Römischen Reiches? (II)</v>
      </c>
      <c r="V12" t="str">
        <f t="shared" si="10"/>
        <v>---
layout: reveal
title: ''
author: 'Nathan Gibson'
session: 
tags: [,slides]
category: slides
image: 
parallaxBackgroundImage: 'assets/img/'
---
# Einführung ins Christentum
{: .r-fit-text}
### 
Sommersemester 2025
Prof. Dr. Nathan Gibson
## 📈 Rückblick: Lernziel
Einige Aspekte der Identitätserzählung der koptischen und syrisch-orthodoxischen Gemeinden zusammenfassen können.
## 📈 Rückblick: 
## Projekt
## Einleitung
## Heutiges Lernziel
## Lektüre
## Diskussion
## Vorschau
Wie entwickelte sich die Kirche außerhalb des Römischen Reiches? (II)</v>
      </c>
    </row>
    <row r="13" spans="1:22" ht="18" customHeight="1" x14ac:dyDescent="0.2">
      <c r="B13" s="3">
        <v>10</v>
      </c>
      <c r="C13" s="8">
        <v>45852</v>
      </c>
      <c r="D13" s="4" t="str">
        <f t="shared" si="0"/>
        <v>2025-07-14-10.md</v>
      </c>
      <c r="E13" s="4" t="s">
        <v>32</v>
      </c>
      <c r="F13" s="4" t="s">
        <v>69</v>
      </c>
      <c r="G13" t="s">
        <v>71</v>
      </c>
      <c r="I13" t="str">
        <f t="shared" si="4"/>
        <v>10. Armenier und Äthiopier: Wie entwickelte sich die Kirche außerhalb des Römischen Reiches? (II)</v>
      </c>
      <c r="J13" s="3">
        <f t="shared" si="1"/>
        <v>10</v>
      </c>
      <c r="K13" s="10" t="s">
        <v>79</v>
      </c>
      <c r="L13" t="str">
        <f t="shared" si="5"/>
        <v>10-Armenier-und-Äthiopier</v>
      </c>
      <c r="M13" s="16" t="s">
        <v>59</v>
      </c>
      <c r="N13" t="s">
        <v>60</v>
      </c>
      <c r="O13" t="s">
        <v>61</v>
      </c>
      <c r="P13" t="str">
        <f t="shared" si="2"/>
        <v>[10]</v>
      </c>
      <c r="Q13" t="str">
        <f t="shared" si="3"/>
        <v>---
layout: post
session: 10
tags: [10]
level: overview
---</v>
      </c>
      <c r="R13" t="str">
        <f t="shared" si="6"/>
        <v>2025-07-14-10-slides.md</v>
      </c>
      <c r="S13" t="str">
        <f t="shared" si="7"/>
        <v xml:space="preserve">---
layout: reveal
title: 'Wie entwickelte sich die Kirche außerhalb des Römischen Reiches? (II)'
author: 'Nathan Gibson'
session: 10
tags: [10,slides]
category: slides
image: armenian-bell.jpg
parallaxBackgroundImage: 'assets/img/armenian-bell.jpg'
---
</v>
      </c>
      <c r="T13" t="str">
        <f t="shared" si="8"/>
        <v># Einführung ins Christentum
{: .r-fit-text}
### Wie entwickelte sich die Kirche außerhalb des Römischen Reiches? (II)
Sommersemester 2025
Prof. Dr. Nathan Gibson
## 📈 Rückblick: Lernziel
## 📈 Rückblick: 
## Projekt
## Einleitung
## Heutiges Lernziel
Eckpunkte der armenischen und äthiopischen Selbstnarrativen erzählen können.</v>
      </c>
      <c r="U13" t="str">
        <f t="shared" si="9"/>
        <v xml:space="preserve">
## Lektüre
## Diskussion
## Vorschau
Was haben wir gelernt?</v>
      </c>
      <c r="V13" t="str">
        <f t="shared" si="10"/>
        <v>---
layout: reveal
title: 'Wie entwickelte sich die Kirche außerhalb des Römischen Reiches? (II)'
author: 'Nathan Gibson'
session: 10
tags: [10,slides]
category: slides
image: armenian-bell.jpg
parallaxBackgroundImage: 'assets/img/armenian-bell.jpg'
---
# Einführung ins Christentum
{: .r-fit-text}
### Wie entwickelte sich die Kirche außerhalb des Römischen Reiches? (II)
Sommersemester 2025
Prof. Dr. Nathan Gibson
## 📈 Rückblick: Lernziel
## 📈 Rückblick: 
## Projekt
## Einleitung
## Heutiges Lernziel
Eckpunkte der armenischen und äthiopischen Selbstnarrativen erzählen können.
## Lektüre
## Diskussion
## Vorschau
Was haben wir gelernt?</v>
      </c>
    </row>
    <row r="14" spans="1:22" ht="18" customHeight="1" x14ac:dyDescent="0.2">
      <c r="B14" s="3">
        <v>11</v>
      </c>
      <c r="C14" s="8">
        <v>45859</v>
      </c>
      <c r="D14" s="4" t="str">
        <f t="shared" si="0"/>
        <v>2025-07-21-11.md</v>
      </c>
      <c r="E14" s="4" t="s">
        <v>34</v>
      </c>
      <c r="F14" s="4" t="s">
        <v>35</v>
      </c>
      <c r="G14" t="s">
        <v>36</v>
      </c>
      <c r="I14" t="str">
        <f t="shared" si="4"/>
        <v>11. Rückblick: Was haben wir gelernt?</v>
      </c>
      <c r="J14" s="3">
        <f t="shared" si="1"/>
        <v>11</v>
      </c>
      <c r="L14" t="str">
        <f t="shared" si="5"/>
        <v>11-Rückblick</v>
      </c>
      <c r="M14" s="9"/>
      <c r="N14" t="s">
        <v>62</v>
      </c>
      <c r="O14" t="s">
        <v>63</v>
      </c>
      <c r="P14" t="str">
        <f t="shared" si="2"/>
        <v>[11]</v>
      </c>
      <c r="Q14" t="str">
        <f t="shared" si="3"/>
        <v>---
layout: post
session: 11
tags: [11]
level: overview
---</v>
      </c>
      <c r="R14" t="str">
        <f t="shared" si="6"/>
        <v>2025-07-21-11-slides.md</v>
      </c>
      <c r="S14" t="str">
        <f t="shared" si="7"/>
        <v xml:space="preserve">---
layout: reveal
title: 'Was haben wir gelernt?'
author: 'Nathan Gibson'
session: 11
tags: [11,slides]
category: slides
image: 
parallaxBackgroundImage: 'assets/img/'
---
</v>
      </c>
      <c r="T14" t="str">
        <f t="shared" si="8"/>
        <v xml:space="preserve"># Einführung ins Christentum
{: .r-fit-text}
### Was haben wir gelernt?
Sommersemester 2025
Prof. Dr. Nathan Gibson
## 📈 Rückblick: Lernziel
Eckpunkte der armenischen und äthiopischen Selbstnarrativen erzählen können.
## 📈 Rückblick: 
## Projekt
## Einleitung
## Heutiges Lernziel
Über die Kursinhalte reflektieren und das eingeworbene Wissen für sich versichern. </v>
      </c>
      <c r="U14" t="str">
        <f t="shared" si="9"/>
        <v xml:space="preserve">
## Lektüre
## Diskussion
## Vorschau
</v>
      </c>
      <c r="V14" t="str">
        <f t="shared" si="10"/>
        <v xml:space="preserve">---
layout: reveal
title: 'Was haben wir gelernt?'
author: 'Nathan Gibson'
session: 11
tags: [11,slides]
category: slides
image: 
parallaxBackgroundImage: 'assets/img/'
---
# Einführung ins Christentum
{: .r-fit-text}
### Was haben wir gelernt?
Sommersemester 2025
Prof. Dr. Nathan Gibson
## 📈 Rückblick: Lernziel
Eckpunkte der armenischen und äthiopischen Selbstnarrativen erzählen können.
## 📈 Rückblick: 
## Projekt
## Einleitung
## Heutiges Lernziel
Über die Kursinhalte reflektieren und das eingeworbene Wissen für sich versichern. 
## Lektüre
## Diskussion
## Vorschau
</v>
      </c>
    </row>
    <row r="15" spans="1:22" x14ac:dyDescent="0.2">
      <c r="E15" s="4"/>
    </row>
    <row r="16" spans="1:22" x14ac:dyDescent="0.2">
      <c r="E16" s="4"/>
    </row>
  </sheetData>
  <pageMargins left="0.7" right="0.7" top="0.75" bottom="0.75" header="0.3" footer="0.3"/>
  <pageSetup paperSize="9" scale="26"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Gibson</cp:lastModifiedBy>
  <cp:lastPrinted>2024-04-18T12:58:24Z</cp:lastPrinted>
  <dcterms:created xsi:type="dcterms:W3CDTF">2023-10-09T09:26:31Z</dcterms:created>
  <dcterms:modified xsi:type="dcterms:W3CDTF">2025-05-13T15:46:47Z</dcterms:modified>
</cp:coreProperties>
</file>